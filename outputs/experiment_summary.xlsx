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hi\Desktop\"/>
    </mc:Choice>
  </mc:AlternateContent>
  <xr:revisionPtr revIDLastSave="0" documentId="13_ncr:1_{0E1EFC1B-BE42-45A9-B588-36ED78200002}" xr6:coauthVersionLast="47" xr6:coauthVersionMax="47" xr10:uidLastSave="{00000000-0000-0000-0000-000000000000}"/>
  <bookViews>
    <workbookView xWindow="-120" yWindow="-120" windowWidth="20730" windowHeight="11160" activeTab="3" xr2:uid="{04B6FD45-E328-434D-BD0B-5742D8D0DAC1}"/>
  </bookViews>
  <sheets>
    <sheet name="Dataset" sheetId="1" r:id="rId1"/>
    <sheet name="Summary Metric" sheetId="5" r:id="rId2"/>
    <sheet name="Data Cleaning" sheetId="3" r:id="rId3"/>
    <sheet name="Segment Analysis" sheetId="6" r:id="rId4"/>
  </sheets>
  <definedNames>
    <definedName name="_xlnm._FilterDatabase" localSheetId="0" hidden="1">Dataset!$A$1:$P$1401</definedName>
    <definedName name="_xlnm._FilterDatabase" localSheetId="1" hidden="1">'Summary Metric'!$A$1:$P$1401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" i="5" l="1"/>
  <c r="S20" i="5"/>
  <c r="S27" i="5"/>
  <c r="S26" i="5"/>
  <c r="S33" i="5"/>
  <c r="S32" i="5"/>
  <c r="S30" i="5"/>
  <c r="S29" i="5"/>
  <c r="S24" i="5"/>
  <c r="S23" i="5"/>
  <c r="S18" i="5"/>
  <c r="S17" i="5"/>
  <c r="S15" i="5"/>
  <c r="S14" i="5"/>
  <c r="S12" i="5"/>
  <c r="S11" i="5"/>
  <c r="S9" i="5"/>
  <c r="S8" i="5"/>
  <c r="S6" i="5"/>
  <c r="S5" i="5"/>
  <c r="S3" i="5"/>
  <c r="S2" i="5"/>
</calcChain>
</file>

<file path=xl/sharedStrings.xml><?xml version="1.0" encoding="utf-8"?>
<sst xmlns="http://schemas.openxmlformats.org/spreadsheetml/2006/main" count="16828" uniqueCount="1483">
  <si>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</si>
  <si>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</si>
  <si>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</si>
  <si>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</si>
  <si>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</si>
  <si>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</si>
  <si>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</si>
  <si>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</si>
  <si>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</si>
  <si>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</si>
  <si>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</si>
  <si>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</si>
  <si>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</si>
  <si>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</si>
  <si>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</si>
  <si>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</si>
  <si>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</si>
  <si>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</si>
  <si>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</si>
  <si>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</si>
  <si>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</si>
  <si>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</si>
  <si>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</si>
  <si>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</si>
  <si>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</si>
  <si>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</si>
  <si>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</si>
  <si>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</si>
  <si>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</si>
  <si>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</si>
  <si>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</si>
  <si>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</si>
  <si>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</si>
  <si>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</si>
  <si>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</si>
  <si>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</si>
  <si>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</si>
  <si>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</si>
  <si>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</si>
  <si>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</si>
  <si>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</si>
  <si>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</si>
  <si>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</si>
  <si>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</si>
  <si>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</si>
  <si>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</si>
  <si>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</si>
  <si>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</si>
  <si>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</si>
  <si>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</si>
  <si>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</si>
  <si>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</si>
  <si>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</si>
  <si>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</si>
  <si>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</si>
  <si>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</si>
  <si>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</si>
  <si>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</si>
  <si>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</si>
  <si>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</si>
  <si>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</si>
  <si>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</si>
  <si>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</si>
  <si>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</si>
  <si>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</si>
  <si>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</si>
  <si>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</si>
  <si>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</si>
  <si>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</si>
  <si>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</si>
  <si>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</si>
  <si>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</si>
  <si>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</si>
  <si>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</si>
  <si>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</si>
  <si>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</si>
  <si>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</si>
  <si>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</si>
  <si>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</si>
  <si>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</si>
  <si>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</si>
  <si>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</si>
  <si>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</si>
  <si>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</si>
  <si>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</si>
  <si>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</si>
  <si>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</si>
  <si>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</si>
  <si>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</si>
  <si>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</si>
  <si>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</si>
  <si>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</si>
  <si>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</si>
  <si>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</si>
  <si>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</si>
  <si>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</si>
  <si>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</si>
  <si>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</si>
  <si>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</si>
  <si>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</si>
  <si>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</si>
  <si>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</si>
  <si>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</si>
  <si>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</si>
  <si>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</si>
  <si>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</si>
  <si>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</si>
  <si>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</si>
  <si>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</si>
  <si>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</si>
  <si>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</si>
  <si>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</si>
  <si>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</si>
  <si>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</si>
  <si>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</si>
  <si>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</si>
  <si>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</si>
  <si>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</si>
  <si>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</si>
  <si>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</si>
  <si>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</si>
  <si>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</si>
  <si>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</si>
  <si>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</si>
  <si>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</si>
  <si>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</si>
  <si>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</si>
  <si>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</si>
  <si>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</si>
  <si>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</si>
  <si>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</si>
  <si>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</si>
  <si>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</si>
  <si>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</si>
  <si>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</si>
  <si>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</si>
  <si>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</si>
  <si>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</si>
  <si>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</si>
  <si>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</si>
  <si>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</si>
  <si>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</si>
  <si>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</si>
  <si>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</si>
  <si>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</si>
  <si>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</si>
  <si>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</si>
  <si>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</si>
  <si>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</si>
  <si>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</si>
  <si>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</si>
  <si>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</si>
  <si>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</si>
  <si>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</si>
  <si>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</si>
  <si>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</si>
  <si>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</si>
  <si>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</si>
  <si>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</si>
  <si>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</si>
  <si>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</si>
  <si>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</si>
  <si>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</si>
  <si>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</si>
  <si>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</si>
  <si>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</si>
  <si>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</si>
  <si>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</si>
  <si>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</si>
  <si>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</si>
  <si>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</si>
  <si>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</si>
  <si>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</si>
  <si>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</si>
  <si>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</si>
  <si>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</si>
  <si>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</si>
  <si>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</si>
  <si>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</si>
  <si>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</si>
  <si>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</si>
  <si>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</si>
  <si>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</si>
  <si>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</si>
  <si>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</si>
  <si>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</si>
  <si>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</si>
  <si>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</si>
  <si>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</si>
  <si>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</si>
  <si>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</si>
  <si>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</si>
  <si>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</si>
  <si>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</si>
  <si>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</si>
  <si>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</si>
  <si>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</si>
  <si>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</si>
  <si>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</si>
  <si>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</si>
  <si>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</si>
  <si>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</si>
  <si>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</si>
  <si>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</si>
  <si>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</si>
  <si>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</si>
  <si>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</si>
  <si>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</si>
  <si>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</si>
  <si>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</si>
  <si>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</si>
  <si>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</si>
  <si>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</si>
  <si>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</si>
  <si>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</si>
  <si>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</si>
  <si>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</si>
  <si>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</si>
  <si>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</si>
  <si>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</si>
  <si>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</si>
  <si>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</si>
  <si>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</si>
  <si>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</si>
  <si>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</si>
  <si>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</si>
  <si>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</si>
  <si>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</si>
  <si>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</si>
  <si>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</si>
  <si>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</si>
  <si>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</si>
  <si>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</si>
  <si>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</si>
  <si>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</si>
  <si>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</si>
  <si>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</si>
  <si>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</si>
  <si>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</si>
  <si>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</si>
  <si>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</si>
  <si>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</si>
  <si>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</si>
  <si>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</si>
  <si>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</si>
  <si>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</si>
  <si>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</si>
  <si>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</si>
  <si>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</si>
  <si>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</si>
  <si>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</si>
  <si>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</si>
  <si>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</si>
  <si>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</si>
  <si>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</si>
  <si>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</si>
  <si>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</si>
  <si>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</si>
  <si>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</si>
  <si>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</si>
  <si>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</si>
  <si>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</si>
  <si>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</si>
  <si>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</si>
  <si>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</si>
  <si>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</si>
  <si>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</si>
  <si>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</si>
  <si>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</si>
  <si>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</si>
  <si>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</si>
  <si>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</si>
  <si>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</si>
  <si>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</si>
  <si>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</si>
  <si>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</si>
  <si>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</si>
  <si>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</si>
  <si>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</si>
  <si>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</si>
  <si>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</si>
  <si>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</si>
  <si>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</si>
  <si>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</si>
  <si>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</si>
  <si>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</si>
  <si>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</si>
  <si>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</si>
  <si>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</si>
  <si>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</si>
  <si>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</si>
  <si>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</si>
  <si>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</si>
  <si>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</si>
  <si>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</si>
  <si>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</si>
  <si>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</si>
  <si>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</si>
  <si>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</si>
  <si>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</si>
  <si>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</si>
  <si>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</si>
  <si>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</si>
  <si>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</si>
  <si>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</si>
  <si>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</si>
  <si>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</si>
  <si>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</si>
  <si>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</si>
  <si>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</si>
  <si>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</si>
  <si>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</si>
  <si>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</si>
  <si>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</si>
  <si>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</si>
  <si>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</si>
  <si>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</si>
  <si>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</si>
  <si>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</si>
  <si>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</si>
  <si>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</si>
  <si>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</si>
  <si>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</si>
  <si>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</si>
  <si>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</si>
  <si>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</si>
  <si>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</si>
  <si>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</si>
  <si>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</si>
  <si>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</si>
  <si>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</si>
  <si>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</si>
  <si>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</si>
  <si>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</si>
  <si>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</si>
  <si>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</si>
  <si>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</si>
  <si>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</si>
  <si>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</si>
  <si>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</si>
  <si>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</si>
  <si>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</si>
  <si>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</si>
  <si>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</si>
  <si>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</si>
  <si>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</si>
  <si>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</si>
  <si>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</si>
  <si>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</si>
  <si>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</si>
  <si>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</si>
  <si>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</si>
  <si>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</si>
  <si>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</si>
  <si>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</si>
  <si>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</si>
  <si>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</si>
  <si>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</si>
  <si>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</si>
  <si>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</si>
  <si>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</si>
  <si>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</si>
  <si>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</si>
  <si>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</si>
  <si>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</si>
  <si>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</si>
  <si>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</si>
  <si>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</si>
  <si>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</si>
  <si>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</si>
  <si>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</si>
  <si>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</si>
  <si>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</si>
  <si>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</si>
  <si>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</si>
  <si>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</si>
  <si>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</si>
  <si>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</si>
  <si>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</si>
  <si>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</si>
  <si>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</si>
  <si>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</si>
  <si>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</si>
  <si>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</si>
  <si>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</si>
  <si>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</si>
  <si>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</si>
  <si>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</si>
  <si>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</si>
  <si>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</si>
  <si>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</si>
  <si>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</si>
  <si>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</si>
  <si>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</si>
  <si>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</si>
  <si>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</si>
  <si>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</si>
  <si>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</si>
  <si>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</si>
  <si>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</si>
  <si>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</si>
  <si>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</si>
  <si>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</si>
  <si>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</si>
  <si>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</si>
  <si>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</si>
  <si>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</si>
  <si>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</si>
  <si>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</si>
  <si>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</si>
  <si>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</si>
  <si>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</si>
  <si>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</si>
  <si>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</si>
  <si>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</si>
  <si>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</si>
  <si>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</si>
  <si>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</si>
  <si>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</si>
  <si>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</si>
  <si>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</si>
  <si>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</si>
  <si>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</si>
  <si>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</si>
  <si>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</si>
  <si>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</si>
  <si>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</si>
  <si>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</si>
  <si>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</si>
  <si>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</si>
  <si>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</si>
  <si>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</si>
  <si>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</si>
  <si>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</si>
  <si>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</si>
  <si>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</si>
  <si>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</si>
  <si>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</si>
  <si>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</si>
  <si>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</si>
  <si>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</si>
  <si>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</si>
  <si>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</si>
  <si>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</si>
  <si>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</si>
  <si>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</si>
  <si>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</si>
  <si>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</si>
  <si>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</si>
  <si>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</si>
  <si>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</si>
  <si>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</si>
  <si>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</si>
  <si>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</si>
  <si>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</si>
  <si>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</si>
  <si>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</si>
  <si>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</si>
  <si>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</si>
  <si>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</si>
  <si>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</si>
  <si>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</si>
  <si>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</si>
  <si>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</si>
  <si>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</si>
  <si>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</si>
  <si>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</si>
  <si>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</si>
  <si>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</si>
  <si>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</si>
  <si>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</si>
  <si>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</si>
  <si>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</si>
  <si>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</si>
  <si>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</si>
  <si>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</si>
  <si>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</si>
  <si>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</si>
  <si>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</si>
  <si>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</si>
  <si>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</si>
  <si>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</si>
  <si>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</si>
  <si>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</si>
  <si>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</si>
  <si>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</si>
  <si>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</si>
  <si>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</si>
  <si>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</si>
  <si>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</si>
  <si>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</si>
  <si>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</si>
  <si>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</si>
  <si>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</si>
  <si>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</si>
  <si>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</si>
  <si>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</si>
  <si>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</si>
  <si>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</si>
  <si>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</si>
  <si>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</si>
  <si>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</si>
  <si>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</si>
  <si>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</si>
  <si>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</si>
  <si>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</si>
  <si>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</si>
  <si>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</si>
  <si>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</si>
  <si>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</si>
  <si>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</si>
  <si>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</si>
  <si>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</si>
  <si>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</si>
  <si>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</si>
  <si>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</si>
  <si>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</si>
  <si>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</si>
  <si>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</si>
  <si>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</si>
  <si>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</si>
  <si>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</si>
  <si>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</si>
  <si>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</si>
  <si>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</si>
  <si>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</si>
  <si>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</si>
  <si>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</si>
  <si>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</si>
  <si>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</si>
  <si>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</si>
  <si>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</si>
  <si>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</si>
  <si>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</si>
  <si>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</si>
  <si>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</si>
  <si>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</si>
  <si>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</si>
  <si>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</si>
  <si>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</si>
  <si>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</si>
  <si>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</si>
  <si>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</si>
  <si>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</si>
  <si>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</si>
  <si>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</si>
  <si>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</si>
  <si>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</si>
  <si>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</si>
  <si>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</si>
  <si>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</si>
  <si>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</si>
  <si>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</si>
  <si>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</si>
  <si>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</si>
  <si>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</si>
  <si>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</si>
  <si>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</si>
  <si>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</si>
  <si>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</si>
  <si>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</si>
  <si>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</si>
  <si>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</si>
  <si>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</si>
  <si>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</si>
  <si>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</si>
  <si>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</si>
  <si>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</si>
  <si>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</si>
  <si>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</si>
  <si>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</si>
  <si>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</si>
  <si>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</si>
  <si>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</si>
  <si>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</si>
  <si>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</si>
  <si>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</si>
  <si>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</si>
  <si>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</si>
  <si>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</si>
  <si>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</si>
  <si>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</si>
  <si>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</si>
  <si>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</si>
  <si>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</si>
  <si>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</si>
  <si>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</si>
  <si>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</si>
  <si>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</si>
  <si>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</si>
  <si>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</si>
  <si>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</si>
  <si>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</si>
  <si>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</si>
  <si>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</si>
  <si>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</si>
  <si>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</si>
  <si>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</si>
  <si>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</si>
  <si>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</si>
  <si>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</si>
  <si>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</si>
  <si>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</si>
  <si>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</si>
  <si>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</si>
  <si>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</si>
  <si>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</si>
  <si>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</si>
  <si>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</si>
  <si>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</si>
  <si>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</si>
  <si>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</si>
  <si>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</si>
  <si>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</si>
  <si>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</si>
  <si>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</si>
  <si>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</si>
  <si>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</si>
  <si>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</si>
  <si>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</si>
  <si>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</si>
  <si>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</si>
  <si>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</si>
  <si>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</si>
  <si>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</si>
  <si>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</si>
  <si>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</si>
  <si>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</si>
  <si>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</si>
  <si>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</si>
  <si>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</si>
  <si>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</si>
  <si>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</si>
  <si>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</si>
  <si>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</si>
  <si>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</si>
  <si>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</si>
  <si>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</si>
  <si>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</si>
  <si>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</si>
  <si>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</si>
  <si>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</si>
  <si>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</si>
  <si>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</si>
  <si>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</si>
  <si>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</si>
  <si>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</si>
  <si>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</si>
  <si>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</si>
  <si>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</si>
  <si>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</si>
  <si>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</si>
  <si>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</si>
  <si>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</si>
  <si>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</si>
  <si>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</si>
  <si>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</si>
  <si>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</si>
  <si>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</si>
  <si>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</si>
  <si>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</si>
  <si>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</si>
  <si>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</si>
  <si>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</si>
  <si>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</si>
  <si>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</si>
  <si>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</si>
  <si>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</si>
  <si>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</si>
  <si>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</si>
  <si>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</si>
  <si>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</si>
  <si>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</si>
  <si>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</si>
  <si>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</si>
  <si>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</si>
  <si>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</si>
  <si>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</si>
  <si>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</si>
  <si>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</si>
  <si>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</si>
  <si>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</si>
  <si>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</si>
  <si>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</si>
  <si>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</si>
  <si>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</si>
  <si>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</si>
  <si>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</si>
  <si>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</si>
  <si>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</si>
  <si>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</si>
  <si>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</si>
  <si>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</si>
  <si>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</si>
  <si>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</si>
  <si>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</si>
  <si>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</si>
  <si>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</si>
  <si>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</si>
  <si>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</si>
  <si>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</si>
  <si>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</si>
  <si>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</si>
  <si>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</si>
  <si>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</si>
  <si>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</si>
  <si>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</si>
  <si>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</si>
  <si>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</si>
  <si>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</si>
  <si>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</si>
  <si>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</si>
  <si>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</si>
  <si>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</si>
  <si>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</si>
  <si>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</si>
  <si>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</si>
  <si>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</si>
  <si>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</si>
  <si>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</si>
  <si>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</si>
  <si>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</si>
  <si>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</si>
  <si>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</si>
  <si>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</si>
  <si>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</si>
  <si>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</si>
  <si>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</si>
  <si>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</si>
  <si>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</si>
  <si>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</si>
  <si>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</si>
  <si>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</si>
  <si>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</si>
  <si>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</si>
  <si>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</si>
  <si>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</si>
  <si>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</si>
  <si>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</si>
  <si>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</si>
  <si>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</si>
  <si>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</si>
  <si>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</si>
  <si>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</si>
  <si>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</si>
  <si>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</si>
  <si>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</si>
  <si>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</si>
  <si>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</si>
  <si>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</si>
  <si>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</si>
  <si>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</si>
  <si>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</si>
  <si>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</si>
  <si>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</si>
  <si>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</si>
  <si>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</si>
  <si>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</si>
  <si>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</si>
  <si>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</si>
  <si>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</si>
  <si>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</si>
  <si>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</si>
  <si>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</si>
  <si>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</si>
  <si>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</si>
  <si>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</si>
  <si>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</si>
  <si>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</si>
  <si>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</si>
  <si>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</si>
  <si>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</si>
  <si>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</si>
  <si>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</si>
  <si>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</si>
  <si>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</si>
  <si>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</si>
  <si>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</si>
  <si>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</si>
  <si>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</si>
  <si>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</si>
  <si>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</si>
  <si>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</si>
  <si>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</si>
  <si>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</si>
  <si>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</si>
  <si>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</si>
  <si>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</si>
  <si>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</si>
  <si>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</si>
  <si>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</si>
  <si>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</si>
  <si>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</si>
  <si>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</si>
  <si>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</si>
  <si>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</si>
  <si>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</si>
  <si>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</si>
  <si>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</si>
  <si>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</si>
  <si>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</si>
  <si>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</si>
  <si>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</si>
  <si>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</si>
  <si>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</si>
  <si>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</si>
  <si>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</si>
  <si>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</si>
  <si>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</si>
  <si>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</si>
  <si>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</si>
  <si>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</si>
  <si>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</si>
  <si>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</si>
  <si>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</si>
  <si>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</si>
  <si>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</si>
  <si>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</si>
  <si>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</si>
  <si>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</si>
  <si>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</si>
  <si>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</si>
  <si>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</si>
  <si>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</si>
  <si>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</si>
  <si>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</si>
  <si>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</si>
  <si>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</si>
  <si>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</si>
  <si>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</si>
  <si>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</si>
  <si>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</si>
  <si>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</si>
  <si>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</si>
  <si>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</si>
  <si>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</si>
  <si>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</si>
  <si>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</si>
  <si>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</si>
  <si>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</si>
  <si>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</si>
  <si>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</si>
  <si>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</si>
  <si>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</si>
  <si>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</si>
  <si>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</si>
  <si>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</si>
  <si>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</si>
  <si>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</si>
  <si>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</si>
  <si>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</si>
  <si>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</si>
  <si>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</si>
  <si>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</si>
  <si>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</si>
  <si>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</si>
  <si>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</si>
  <si>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</si>
  <si>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</si>
  <si>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</si>
  <si>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</si>
  <si>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</si>
  <si>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</si>
  <si>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</si>
  <si>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</si>
  <si>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</si>
  <si>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</si>
  <si>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</si>
  <si>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</si>
  <si>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</si>
  <si>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</si>
  <si>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</si>
  <si>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</si>
  <si>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</si>
  <si>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</si>
  <si>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</si>
  <si>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</si>
  <si>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</si>
  <si>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</si>
  <si>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</si>
  <si>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</si>
  <si>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</si>
  <si>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</si>
  <si>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</si>
  <si>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</si>
  <si>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</si>
  <si>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</si>
  <si>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</si>
  <si>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</si>
  <si>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</si>
  <si>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</si>
  <si>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</si>
  <si>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</si>
  <si>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</si>
  <si>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</si>
  <si>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</si>
  <si>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</si>
  <si>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</si>
  <si>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</si>
  <si>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</si>
  <si>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</si>
  <si>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</si>
  <si>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</si>
  <si>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</si>
  <si>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</si>
  <si>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</si>
  <si>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</si>
  <si>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</si>
  <si>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</si>
  <si>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</si>
  <si>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</si>
  <si>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</si>
  <si>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</si>
  <si>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</si>
  <si>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</si>
  <si>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</si>
  <si>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</si>
  <si>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</si>
  <si>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</si>
  <si>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</si>
  <si>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</si>
  <si>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</si>
  <si>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</si>
  <si>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</si>
  <si>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</si>
  <si>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</si>
  <si>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</si>
  <si>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</si>
  <si>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</si>
  <si>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</si>
  <si>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</si>
  <si>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</si>
  <si>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</si>
  <si>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</si>
  <si>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</si>
  <si>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</si>
  <si>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</si>
  <si>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</si>
  <si>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</si>
  <si>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</si>
  <si>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</si>
  <si>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</si>
  <si>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</si>
  <si>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</si>
  <si>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</si>
  <si>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</si>
  <si>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</si>
  <si>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</si>
  <si>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</si>
  <si>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</si>
  <si>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</si>
  <si>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</si>
  <si>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</si>
  <si>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</si>
  <si>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</si>
  <si>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</si>
  <si>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</si>
  <si>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</si>
  <si>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</si>
  <si>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</si>
  <si>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</si>
  <si>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</si>
  <si>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</si>
  <si>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</si>
  <si>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</si>
  <si>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</si>
  <si>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</si>
  <si>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</si>
  <si>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</si>
  <si>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</si>
  <si>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</si>
  <si>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</si>
  <si>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</si>
  <si>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</si>
  <si>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</si>
  <si>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</si>
  <si>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</si>
  <si>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</si>
  <si>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</si>
  <si>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</si>
  <si>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</si>
  <si>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</si>
  <si>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</si>
  <si>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</si>
  <si>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</si>
  <si>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</si>
  <si>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</si>
  <si>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</si>
  <si>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</si>
  <si>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</si>
  <si>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</si>
  <si>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</si>
  <si>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</si>
  <si>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</si>
  <si>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</si>
  <si>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</si>
  <si>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</si>
  <si>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</si>
  <si>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</si>
  <si>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</si>
  <si>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</si>
  <si>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</si>
  <si>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</si>
  <si>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</si>
  <si>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</si>
  <si>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</si>
  <si>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</si>
  <si>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</si>
  <si>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</si>
  <si>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</si>
  <si>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</si>
  <si>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</si>
  <si>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</si>
  <si>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</si>
  <si>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</si>
  <si>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</si>
  <si>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</si>
  <si>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</si>
  <si>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</si>
  <si>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</si>
  <si>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</si>
  <si>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</si>
  <si>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</si>
  <si>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</si>
  <si>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</si>
  <si>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</si>
  <si>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</si>
  <si>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</si>
  <si>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</si>
  <si>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</si>
  <si>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</si>
  <si>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</si>
  <si>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</si>
  <si>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</si>
  <si>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</si>
  <si>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</si>
  <si>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</si>
  <si>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</si>
  <si>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</si>
  <si>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</si>
  <si>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</si>
  <si>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</si>
  <si>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</si>
  <si>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</si>
  <si>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</si>
  <si>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</si>
  <si>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</si>
  <si>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</si>
  <si>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</si>
  <si>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</si>
  <si>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</si>
  <si>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</si>
  <si>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</si>
  <si>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</si>
  <si>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</si>
  <si>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</si>
  <si>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</si>
  <si>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</si>
  <si>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</si>
  <si>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</si>
  <si>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</si>
  <si>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</si>
  <si>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</si>
  <si>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</si>
  <si>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</si>
  <si>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</si>
  <si>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</si>
  <si>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</si>
  <si>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</si>
  <si>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</si>
  <si>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</si>
  <si>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</si>
  <si>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</si>
  <si>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</si>
  <si>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</si>
  <si>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</si>
  <si>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</si>
  <si>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</si>
  <si>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</si>
  <si>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</si>
  <si>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</si>
  <si>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</si>
  <si>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</si>
  <si>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</si>
  <si>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</si>
  <si>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</si>
  <si>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</si>
  <si>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</si>
  <si>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</si>
  <si>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</si>
  <si>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</si>
  <si>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</si>
  <si>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</si>
  <si>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</si>
  <si>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</si>
  <si>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</si>
  <si>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</si>
  <si>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</si>
  <si>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</si>
  <si>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</si>
  <si>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</si>
  <si>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</si>
  <si>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</si>
  <si>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</si>
  <si>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</si>
  <si>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</si>
  <si>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</si>
  <si>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</si>
  <si>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</si>
  <si>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</si>
  <si>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</si>
  <si>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</si>
  <si>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</si>
  <si>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</si>
  <si>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</si>
  <si>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</si>
  <si>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</si>
  <si>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</si>
  <si>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</si>
  <si>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</si>
  <si>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</si>
  <si>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</si>
  <si>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</si>
  <si>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</si>
  <si>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</si>
  <si>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</si>
  <si>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</si>
  <si>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</si>
  <si>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</si>
  <si>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</si>
  <si>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</si>
  <si>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</si>
  <si>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</si>
  <si>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</si>
  <si>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</si>
  <si>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</si>
  <si>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</si>
  <si>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</si>
  <si>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</si>
  <si>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</si>
  <si>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</si>
  <si>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</si>
  <si>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</si>
  <si>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</si>
  <si>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</si>
  <si>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</si>
  <si>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</si>
  <si>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</si>
  <si>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</si>
  <si>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</si>
  <si>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</si>
  <si>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</si>
  <si>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</si>
  <si>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</si>
  <si>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</si>
  <si>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</si>
  <si>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</si>
  <si>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</si>
  <si>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</si>
  <si>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</si>
  <si>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</si>
  <si>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</si>
  <si>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</si>
  <si>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</si>
  <si>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</si>
  <si>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</si>
  <si>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</si>
  <si>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</si>
  <si>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</si>
  <si>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</si>
  <si>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</si>
  <si>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</si>
  <si>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</si>
  <si>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</si>
  <si>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</si>
  <si>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</si>
  <si>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</si>
  <si>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</si>
  <si>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</si>
  <si>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</si>
  <si>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</si>
  <si>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</si>
  <si>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</si>
  <si>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</si>
  <si>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</si>
  <si>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</si>
  <si>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</si>
  <si>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</si>
  <si>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</si>
  <si>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</si>
  <si>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</si>
  <si>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</si>
  <si>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</si>
  <si>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</si>
  <si>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</si>
  <si>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</si>
  <si>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</si>
  <si>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</si>
  <si>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</si>
  <si>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</si>
  <si>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</si>
  <si>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</si>
  <si>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</si>
  <si>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</si>
  <si>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</si>
  <si>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</si>
  <si>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</si>
  <si>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</si>
  <si>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</si>
  <si>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</si>
  <si>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</si>
  <si>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</si>
  <si>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</si>
  <si>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</si>
  <si>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</si>
  <si>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</si>
  <si>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</si>
  <si>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</si>
  <si>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</si>
  <si>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</si>
  <si>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</si>
  <si>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</si>
  <si>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</si>
  <si>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</si>
  <si>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</si>
  <si>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</si>
  <si>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</si>
  <si>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</si>
  <si>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</si>
  <si>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</si>
  <si>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</si>
  <si>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</si>
  <si>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</si>
  <si>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</si>
  <si>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</si>
  <si>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</si>
  <si>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</si>
  <si>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</si>
  <si>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</si>
  <si>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</si>
  <si>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</si>
  <si>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</si>
  <si>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</si>
  <si>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</si>
  <si>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</si>
  <si>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</si>
  <si>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</si>
  <si>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</si>
  <si>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</si>
  <si>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</si>
  <si>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</si>
  <si>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</si>
  <si>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</si>
  <si>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</si>
  <si>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</si>
  <si>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</si>
  <si>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</si>
  <si>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</si>
  <si>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</si>
  <si>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</si>
  <si>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</si>
  <si>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</si>
  <si>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</si>
  <si>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</si>
  <si>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</si>
  <si>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</si>
  <si>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</si>
  <si>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</si>
  <si>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</si>
  <si>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</si>
  <si>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</si>
  <si>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</si>
  <si>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</si>
  <si>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</si>
  <si>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</si>
  <si>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</si>
  <si>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</si>
  <si>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</si>
  <si>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</si>
  <si>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</si>
  <si>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</si>
  <si>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</si>
  <si>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</si>
  <si>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</si>
  <si>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</si>
  <si>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</si>
  <si>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</si>
  <si>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</si>
  <si>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</si>
  <si>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</si>
  <si>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</si>
  <si>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</si>
  <si>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</si>
  <si>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</si>
  <si>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</si>
  <si>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</si>
  <si>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</si>
  <si>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</si>
  <si>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</si>
  <si>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</si>
  <si>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</si>
  <si>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</si>
  <si>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</si>
  <si>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</si>
  <si>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</si>
  <si>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</si>
  <si>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</si>
  <si>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</si>
  <si>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</si>
  <si>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</si>
  <si>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</si>
  <si>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</si>
  <si>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</si>
  <si>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</si>
  <si>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</si>
  <si>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</si>
  <si>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</si>
  <si>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</si>
  <si>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</si>
  <si>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</si>
  <si>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</si>
  <si>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</si>
  <si>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</si>
  <si>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</si>
  <si>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</si>
  <si>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</si>
  <si>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</si>
  <si>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</si>
  <si>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</si>
  <si>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</si>
  <si>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</si>
  <si>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</si>
  <si>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</si>
  <si>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</si>
  <si>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</si>
  <si>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</si>
  <si>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</si>
  <si>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</si>
  <si>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</si>
  <si>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</si>
  <si>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</si>
  <si>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</si>
  <si>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</si>
  <si>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</si>
  <si>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</si>
  <si>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</si>
  <si>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</si>
  <si>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</si>
  <si>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</si>
  <si>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</si>
  <si>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</si>
  <si>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</si>
  <si>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</si>
  <si>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</si>
  <si>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</si>
  <si>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</si>
  <si>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</si>
  <si>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</si>
  <si>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</si>
  <si>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</si>
  <si>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</si>
  <si>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</si>
  <si>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</si>
  <si>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</si>
  <si>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</si>
  <si>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</si>
  <si>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</si>
  <si>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</si>
  <si>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</si>
  <si>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</si>
  <si>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</si>
  <si>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</si>
  <si>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</si>
  <si>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</si>
  <si>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</si>
  <si>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</si>
  <si>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</si>
  <si>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</si>
  <si>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</si>
  <si>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</si>
  <si>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</si>
  <si>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</si>
  <si>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</si>
  <si>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</si>
  <si>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</si>
  <si>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</si>
  <si>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</si>
  <si>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</si>
  <si>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</si>
  <si>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</si>
  <si>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</si>
  <si>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</si>
  <si>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</si>
  <si>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</si>
  <si>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</si>
  <si>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</si>
  <si>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</si>
  <si>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</si>
  <si>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</si>
  <si>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</si>
  <si>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</si>
  <si>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</si>
  <si>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</si>
  <si>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</si>
  <si>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</si>
  <si>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</si>
  <si>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</si>
  <si>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</si>
  <si>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</si>
  <si>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</si>
  <si>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</si>
  <si>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</si>
  <si>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</si>
  <si>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</si>
  <si>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</si>
  <si>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</si>
  <si>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</si>
  <si>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</si>
  <si>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</si>
  <si>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</si>
  <si>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</si>
  <si>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</si>
  <si>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</si>
  <si>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</si>
  <si>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</si>
  <si>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</si>
  <si>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</si>
  <si>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</si>
  <si>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</si>
  <si>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</si>
  <si>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</si>
  <si>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</si>
  <si>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</si>
  <si>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Data Cleanig:</t>
  </si>
  <si>
    <t>Dataset Size: 1408 Rows</t>
  </si>
  <si>
    <t>Missing Values:</t>
  </si>
  <si>
    <t>Device Type: 18</t>
  </si>
  <si>
    <t>Traffic Source :24</t>
  </si>
  <si>
    <t>Engagement Score:14</t>
  </si>
  <si>
    <t>Days to convert: 1336</t>
  </si>
  <si>
    <t>Duplicate User IDs</t>
  </si>
  <si>
    <t xml:space="preserve">8 duplicates </t>
  </si>
  <si>
    <t>after that total records will be 1400 rows now.</t>
  </si>
  <si>
    <t>Missing Values:1400 Rows</t>
  </si>
  <si>
    <t>Days to convert: 1328</t>
  </si>
  <si>
    <t>Group Counts</t>
  </si>
  <si>
    <t>Control = 690</t>
  </si>
  <si>
    <t>Treatment = 710</t>
  </si>
  <si>
    <t>Issue found in:</t>
  </si>
  <si>
    <t>support_tickets_30d contains values: 2, 3, 4 (Not binary):239</t>
  </si>
  <si>
    <t>Landing page visit rate Control</t>
  </si>
  <si>
    <t>Landing page visit rate Treatment</t>
  </si>
  <si>
    <t>User Count Control</t>
  </si>
  <si>
    <t>User Count Treatment</t>
  </si>
  <si>
    <t>Trial start rate Control</t>
  </si>
  <si>
    <t>Trial start rate Treatment</t>
  </si>
  <si>
    <t>Onboarding Completion rate Control</t>
  </si>
  <si>
    <t>Onboarding Completion rate Treatment</t>
  </si>
  <si>
    <t>Paid conversion rate Control</t>
  </si>
  <si>
    <t>Paid conversion rate Treatment</t>
  </si>
  <si>
    <t>Average Revenue Per user Control</t>
  </si>
  <si>
    <t>Average Revenue Per user Treatment</t>
  </si>
  <si>
    <t>Revenue per converted user control</t>
  </si>
  <si>
    <t>Revenue per converted user Treatmet</t>
  </si>
  <si>
    <t>Refud Rate Treatment</t>
  </si>
  <si>
    <t>Refund Rate Control</t>
  </si>
  <si>
    <t>Average Engagement Score Control</t>
  </si>
  <si>
    <t>Average Engagement Score Treatment</t>
  </si>
  <si>
    <t>Avg days to convert control</t>
  </si>
  <si>
    <t>Avg days to convert Treatment</t>
  </si>
  <si>
    <t>Support Ticket Rate Control</t>
  </si>
  <si>
    <t>Support Ticket Rate Treatment</t>
  </si>
  <si>
    <t>Summary</t>
  </si>
  <si>
    <t>Average of converted_to_paid</t>
  </si>
  <si>
    <t>Column Labels</t>
  </si>
  <si>
    <t>Row Labels</t>
  </si>
  <si>
    <t>Grand Total</t>
  </si>
  <si>
    <t>Average of engagement_score</t>
  </si>
  <si>
    <t>Average of revenue_30d</t>
  </si>
  <si>
    <t>(blank)</t>
  </si>
  <si>
    <t>Device Analysis</t>
  </si>
  <si>
    <t>Traffic Source Analysis</t>
  </si>
  <si>
    <t>Region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</si>
</sst>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165" fontId="0" fillId="0" borderId="1" xfId="1" applyNumberFormat="1" applyFont="1" applyBorder="1"/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pivotButton="1"/>
    <xf numFmtId="0" fontId="3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periment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shi" refreshedDate="46200.710864004628" createdVersion="8" refreshedVersion="8" minRefreshableVersion="3" recordCount="1400" xr:uid="{59ABFEE9-AA06-474F-862E-8046E61F3573}">
  <cacheSource type="worksheet">
    <worksheetSource ref="A1:P1401" sheet="hypothesis test" r:id="rId2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x v="0"/>
    <x v="0"/>
    <x v="0"/>
    <s v="Basic"/>
    <n v="0"/>
    <n v="0"/>
    <n v="0"/>
    <n v="0"/>
    <n v="0"/>
    <n v="0"/>
    <n v="0"/>
    <m/>
    <n v="45.7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</r>
  <r>
    <s v="USR-100154"/>
    <d v="2025-03-04T00:00:00"/>
    <x v="0"/>
    <x v="3"/>
    <x v="1"/>
    <x v="3"/>
    <s v="Free"/>
    <n v="1"/>
    <n v="1"/>
    <n v="0"/>
    <n v="0"/>
    <n v="0"/>
    <n v="0"/>
    <n v="0"/>
    <m/>
    <m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</r>
  <r>
    <s v="USR-100162"/>
    <d v="2025-02-01T00:00:00"/>
    <x v="0"/>
    <x v="0"/>
    <x v="1"/>
    <x v="1"/>
    <s v="Free"/>
    <n v="0"/>
    <n v="0"/>
    <n v="0"/>
    <n v="0"/>
    <n v="0"/>
    <n v="0"/>
    <n v="0"/>
    <m/>
    <m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</r>
  <r>
    <s v="USR-100168"/>
    <d v="2025-03-06T00:00:00"/>
    <x v="0"/>
    <x v="3"/>
    <x v="1"/>
    <x v="2"/>
    <s v="Free"/>
    <n v="1"/>
    <n v="0"/>
    <n v="0"/>
    <n v="0"/>
    <n v="0"/>
    <n v="1"/>
    <n v="0"/>
    <m/>
    <m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</r>
  <r>
    <s v="USR-100218"/>
    <d v="2025-02-25T00:00:00"/>
    <x v="0"/>
    <x v="0"/>
    <x v="2"/>
    <x v="4"/>
    <s v="Free"/>
    <n v="1"/>
    <n v="0"/>
    <n v="0"/>
    <n v="0"/>
    <n v="0"/>
    <n v="0"/>
    <n v="0"/>
    <m/>
    <m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</r>
  <r>
    <s v="USR-100545"/>
    <d v="2025-01-01T00:00:00"/>
    <x v="0"/>
    <x v="3"/>
    <x v="0"/>
    <x v="4"/>
    <s v="Basic"/>
    <n v="0"/>
    <n v="0"/>
    <n v="0"/>
    <n v="0"/>
    <n v="0"/>
    <n v="0"/>
    <n v="0"/>
    <m/>
    <m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</r>
  <r>
    <s v="USR-100632"/>
    <d v="2025-03-16T00:00:00"/>
    <x v="0"/>
    <x v="0"/>
    <x v="1"/>
    <x v="4"/>
    <s v="Free"/>
    <n v="1"/>
    <n v="0"/>
    <n v="0"/>
    <n v="0"/>
    <n v="0"/>
    <n v="0"/>
    <n v="0"/>
    <m/>
    <m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</r>
  <r>
    <s v="USR-100694"/>
    <d v="2025-03-27T00:00:00"/>
    <x v="1"/>
    <x v="0"/>
    <x v="0"/>
    <x v="4"/>
    <s v="Free"/>
    <n v="1"/>
    <n v="0"/>
    <n v="0"/>
    <n v="0"/>
    <n v="0"/>
    <n v="0"/>
    <n v="0"/>
    <m/>
    <m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</r>
  <r>
    <s v="USR-100707"/>
    <d v="2025-01-29T00:00:00"/>
    <x v="1"/>
    <x v="0"/>
    <x v="0"/>
    <x v="1"/>
    <s v="Basic"/>
    <n v="1"/>
    <n v="0"/>
    <n v="0"/>
    <n v="0"/>
    <n v="0"/>
    <n v="0"/>
    <n v="0"/>
    <m/>
    <m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</r>
  <r>
    <s v="USR-100762"/>
    <d v="2025-03-26T00:00:00"/>
    <x v="1"/>
    <x v="3"/>
    <x v="1"/>
    <x v="2"/>
    <s v="Free"/>
    <n v="0"/>
    <n v="0"/>
    <n v="0"/>
    <n v="0"/>
    <n v="0"/>
    <n v="0"/>
    <n v="0"/>
    <m/>
    <m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</r>
  <r>
    <s v="USR-101073"/>
    <d v="2025-05-22T00:00:00"/>
    <x v="1"/>
    <x v="2"/>
    <x v="1"/>
    <x v="3"/>
    <s v="Free"/>
    <n v="1"/>
    <n v="0"/>
    <n v="0"/>
    <n v="0"/>
    <n v="0"/>
    <n v="1"/>
    <n v="0"/>
    <m/>
    <m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</r>
  <r>
    <s v="USR-101099"/>
    <d v="2025-04-19T00:00:00"/>
    <x v="1"/>
    <x v="0"/>
    <x v="1"/>
    <x v="2"/>
    <s v="Basic"/>
    <n v="1"/>
    <n v="0"/>
    <n v="0"/>
    <n v="0"/>
    <n v="0"/>
    <n v="0"/>
    <n v="0"/>
    <m/>
    <m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</r>
  <r>
    <s v="USR-101299"/>
    <d v="2025-05-17T00:00:00"/>
    <x v="1"/>
    <x v="1"/>
    <x v="1"/>
    <x v="1"/>
    <s v="Free"/>
    <n v="0"/>
    <n v="0"/>
    <n v="0"/>
    <n v="0"/>
    <n v="0"/>
    <n v="3"/>
    <n v="0"/>
    <m/>
    <m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03470-07C6-46C5-905D-445B301F598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O8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A3F52-5AE9-413D-B553-2369DEDC560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11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evenue_30d" fld="11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9ABD1-9A08-45A2-BDE3-A183D85134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A71C-FCF3-487C-B9EA-5555782A60C5}">
  <dimension ref="A1:P1401"/>
  <sheetViews>
    <sheetView workbookViewId="0">
      <selection activeCell="D18" sqref="D18"/>
    </sheetView>
  </sheetViews>
  <sheetFormatPr defaultRowHeight="15"/>
  <cols>
    <col min="1" max="1" width="13.140625" bestFit="1" customWidth="1"/>
    <col min="2" max="2" width="18.140625" bestFit="1" customWidth="1"/>
    <col min="3" max="3" width="21.85546875" bestFit="1" customWidth="1"/>
    <col min="4" max="4" width="12.140625" bestFit="1" customWidth="1"/>
    <col min="5" max="5" width="18" bestFit="1" customWidth="1"/>
    <col min="6" max="6" width="18.42578125" bestFit="1" customWidth="1"/>
    <col min="7" max="7" width="15.28515625" bestFit="1" customWidth="1"/>
    <col min="8" max="8" width="26.28515625" bestFit="1" customWidth="1"/>
    <col min="9" max="9" width="17.85546875" bestFit="1" customWidth="1"/>
    <col min="10" max="10" width="29.28515625" bestFit="1" customWidth="1"/>
    <col min="11" max="11" width="24.85546875" bestFit="1" customWidth="1"/>
    <col min="12" max="12" width="19" bestFit="1" customWidth="1"/>
    <col min="13" max="14" width="21.42578125" bestFit="1" customWidth="1"/>
    <col min="15" max="15" width="20.85546875" bestFit="1" customWidth="1"/>
    <col min="16" max="16" width="21.85546875" bestFit="1" customWidth="1"/>
  </cols>
  <sheetData>
    <row r="1" spans="1:1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autoFilter ref="A1:P1401" xr:uid="{8BF7A71C-FCF3-487C-B9EA-5555782A60C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2C89-6FB8-4EEB-85B2-EE8FFA5A6A44}">
  <dimension ref="A1:S1401"/>
  <sheetViews>
    <sheetView topLeftCell="G1" workbookViewId="0">
      <selection activeCell="V20" sqref="V20"/>
    </sheetView>
  </sheetViews>
  <sheetFormatPr defaultRowHeight="15"/>
  <cols>
    <col min="1" max="1" width="11.140625" bestFit="1" customWidth="1"/>
    <col min="2" max="2" width="10.42578125" bestFit="1" customWidth="1"/>
    <col min="3" max="3" width="10.28515625" bestFit="1" customWidth="1"/>
    <col min="4" max="4" width="7.5703125" bestFit="1" customWidth="1"/>
    <col min="5" max="5" width="9" bestFit="1" customWidth="1"/>
    <col min="6" max="6" width="11.140625" bestFit="1" customWidth="1"/>
    <col min="8" max="8" width="9" bestFit="1" customWidth="1"/>
    <col min="9" max="9" width="8.140625" bestFit="1" customWidth="1"/>
    <col min="10" max="10" width="9" bestFit="1" customWidth="1"/>
    <col min="12" max="12" width="8.28515625" bestFit="1" customWidth="1"/>
    <col min="13" max="14" width="8.85546875" bestFit="1" customWidth="1"/>
    <col min="15" max="15" width="8.7109375" bestFit="1" customWidth="1"/>
    <col min="16" max="16" width="8.5703125" bestFit="1" customWidth="1"/>
    <col min="18" max="18" width="31.140625" bestFit="1" customWidth="1"/>
    <col min="19" max="19" width="15.7109375" style="3" bestFit="1" customWidth="1"/>
  </cols>
  <sheetData>
    <row r="1" spans="1:19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4" t="s">
        <v>1472</v>
      </c>
      <c r="S1" s="4"/>
    </row>
    <row r="2" spans="1:19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R2" s="5" t="s">
        <v>1452</v>
      </c>
      <c r="S2" s="6">
        <f>COUNTIF(C:C,"Control")</f>
        <v>690</v>
      </c>
    </row>
    <row r="3" spans="1:19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R3" s="5" t="s">
        <v>1453</v>
      </c>
      <c r="S3" s="6">
        <f>COUNTIF(C:C,"Treatment")</f>
        <v>710</v>
      </c>
    </row>
    <row r="4" spans="1:19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R4" s="5"/>
      <c r="S4" s="6"/>
    </row>
    <row r="5" spans="1:19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 s="5" t="s">
        <v>1450</v>
      </c>
      <c r="S5" s="7">
        <f>COUNTIFS(C:C,"Control",H:H,1)/690</f>
        <v>0.63623188405797104</v>
      </c>
    </row>
    <row r="6" spans="1:19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 s="5" t="s">
        <v>1451</v>
      </c>
      <c r="S6" s="6">
        <f>COUNTIFS(C:C,"Treatment",H:H,1)/710</f>
        <v>0.72394366197183102</v>
      </c>
    </row>
    <row r="7" spans="1:19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R7" s="5"/>
      <c r="S7" s="6"/>
    </row>
    <row r="8" spans="1:19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R8" s="5" t="s">
        <v>1454</v>
      </c>
      <c r="S8" s="6">
        <f>COUNTIFS(C:C,"Control",I:I,1)/690</f>
        <v>0.25072463768115943</v>
      </c>
    </row>
    <row r="9" spans="1:19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R9" s="5" t="s">
        <v>1455</v>
      </c>
      <c r="S9" s="6">
        <f>COUNTIFS(C:C,"Treatment",I:I,1)/710</f>
        <v>0.29014084507042254</v>
      </c>
    </row>
    <row r="10" spans="1:19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R10" s="5"/>
      <c r="S10" s="6"/>
    </row>
    <row r="11" spans="1:19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R11" s="5" t="s">
        <v>1456</v>
      </c>
      <c r="S11" s="6">
        <f>COUNTIFS(C:C,"Control",J:J,1)/690</f>
        <v>0.15652173913043479</v>
      </c>
    </row>
    <row r="12" spans="1:19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R12" s="5" t="s">
        <v>1457</v>
      </c>
      <c r="S12" s="6">
        <f>COUNTIFS(C:C,"Treatment",J:J,1)/710</f>
        <v>0.21126760563380281</v>
      </c>
    </row>
    <row r="13" spans="1:19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R13" s="5"/>
      <c r="S13" s="6"/>
    </row>
    <row r="14" spans="1:19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R14" s="5" t="s">
        <v>1458</v>
      </c>
      <c r="S14" s="6">
        <f>COUNTIFS(C:C,"Control",K:K,1)/690</f>
        <v>3.1884057971014491E-2</v>
      </c>
    </row>
    <row r="15" spans="1:19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R15" s="5" t="s">
        <v>1459</v>
      </c>
      <c r="S15" s="6">
        <f>COUNTIFS(C:C,"Treatment",K:K,1)/710</f>
        <v>7.0422535211267609E-2</v>
      </c>
    </row>
    <row r="16" spans="1:19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R16" s="5"/>
      <c r="S16" s="6"/>
    </row>
    <row r="17" spans="1:19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R17" s="5" t="s">
        <v>1460</v>
      </c>
      <c r="S17" s="6">
        <f>SUMIFS(L:L,C:C,"Control")/690</f>
        <v>51.974318840579706</v>
      </c>
    </row>
    <row r="18" spans="1:19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R18" s="5" t="s">
        <v>1461</v>
      </c>
      <c r="S18" s="6">
        <f>SUMIFS(L:L,C:C,"Treatment")/710</f>
        <v>54.254521126760551</v>
      </c>
    </row>
    <row r="19" spans="1:19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R19" s="5"/>
      <c r="S19" s="6"/>
    </row>
    <row r="20" spans="1:19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R20" s="5" t="s">
        <v>1462</v>
      </c>
      <c r="S20" s="6">
        <f>SUMIFS(L:L,C:C,"Control")/COUNTIFS(C:C,"Control",K:K,1)</f>
        <v>1630.1036363636363</v>
      </c>
    </row>
    <row r="21" spans="1:19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R21" s="5" t="s">
        <v>1463</v>
      </c>
      <c r="S21" s="6">
        <f>SUMIFS(L:L,C:C,"Treatment")/COUNTIFS(C:C,"Treatment",K:K,1)</f>
        <v>770.41419999999982</v>
      </c>
    </row>
    <row r="22" spans="1:19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R22" s="5"/>
      <c r="S22" s="6"/>
    </row>
    <row r="23" spans="1:19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R23" s="5" t="s">
        <v>1465</v>
      </c>
      <c r="S23" s="6">
        <f>COUNTIFS(C:C,"Control",N:N,1)/690</f>
        <v>0</v>
      </c>
    </row>
    <row r="24" spans="1:19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R24" s="5" t="s">
        <v>1464</v>
      </c>
      <c r="S24" s="6">
        <f>COUNTIFS(C:C,"Treatment",N:N,1)/710</f>
        <v>4.2253521126760559E-3</v>
      </c>
    </row>
    <row r="25" spans="1:19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R25" s="5"/>
      <c r="S25" s="6"/>
    </row>
    <row r="26" spans="1:19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R26" s="5" t="s">
        <v>1470</v>
      </c>
      <c r="S26" s="6">
        <f>COUNTIFS(C:C,"Control",M:M,"&gt;0")/COUNTIF(C:C,"Control")</f>
        <v>0.14782608695652175</v>
      </c>
    </row>
    <row r="27" spans="1:19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R27" s="5" t="s">
        <v>1471</v>
      </c>
      <c r="S27" s="6">
        <f>COUNTIFS(C:C,"Treatment",M:M,"&gt;0")/COUNTIF(C:C,"Treatment")</f>
        <v>0.24788732394366197</v>
      </c>
    </row>
    <row r="28" spans="1:19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R28" s="5"/>
      <c r="S28" s="6"/>
    </row>
    <row r="29" spans="1:19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R29" s="5" t="s">
        <v>1466</v>
      </c>
      <c r="S29" s="6">
        <f>AVERAGEIFS(P:P,C:C,"Control")</f>
        <v>57.029532163742729</v>
      </c>
    </row>
    <row r="30" spans="1:19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R30" s="5" t="s">
        <v>1467</v>
      </c>
      <c r="S30" s="6">
        <f>AVERAGEIFS(P:P,C:C,"Treatment")</f>
        <v>62.940028490028489</v>
      </c>
    </row>
    <row r="31" spans="1:19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R31" s="5"/>
      <c r="S31" s="6"/>
    </row>
    <row r="32" spans="1:19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R32" s="5" t="s">
        <v>1468</v>
      </c>
      <c r="S32" s="6">
        <f>AVERAGEIFS(O:O,C:C,"Control",K:K,1)</f>
        <v>8.8636363636363633</v>
      </c>
    </row>
    <row r="33" spans="1:19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R33" s="5" t="s">
        <v>1469</v>
      </c>
      <c r="S33" s="6">
        <f>AVERAGEIFS(O:O,C:C,"Treatment",K:K,1)</f>
        <v>6.4</v>
      </c>
    </row>
    <row r="34" spans="1:19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R34" s="5"/>
      <c r="S34" s="6"/>
    </row>
    <row r="35" spans="1:19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9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9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9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9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9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9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9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9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9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9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9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9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9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mergeCells count="1">
    <mergeCell ref="R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63-15E6-43D4-A492-02138A71354D}">
  <dimension ref="A1:B28"/>
  <sheetViews>
    <sheetView workbookViewId="0"/>
  </sheetViews>
  <sheetFormatPr defaultRowHeight="15"/>
  <cols>
    <col min="1" max="1" width="55.140625" bestFit="1" customWidth="1"/>
  </cols>
  <sheetData>
    <row r="1" spans="1:2">
      <c r="A1" s="8" t="s">
        <v>1433</v>
      </c>
      <c r="B1" s="9"/>
    </row>
    <row r="2" spans="1:2">
      <c r="A2" s="5"/>
    </row>
    <row r="3" spans="1:2">
      <c r="A3" s="5" t="s">
        <v>1434</v>
      </c>
    </row>
    <row r="4" spans="1:2">
      <c r="A4" s="5" t="s">
        <v>1435</v>
      </c>
    </row>
    <row r="5" spans="1:2">
      <c r="A5" s="5" t="s">
        <v>1436</v>
      </c>
    </row>
    <row r="6" spans="1:2">
      <c r="A6" s="5" t="s">
        <v>1437</v>
      </c>
    </row>
    <row r="7" spans="1:2">
      <c r="A7" s="5" t="s">
        <v>1438</v>
      </c>
    </row>
    <row r="8" spans="1:2">
      <c r="A8" s="5" t="s">
        <v>1439</v>
      </c>
    </row>
    <row r="9" spans="1:2">
      <c r="A9" s="5"/>
    </row>
    <row r="10" spans="1:2">
      <c r="A10" s="5" t="s">
        <v>1440</v>
      </c>
    </row>
    <row r="11" spans="1:2">
      <c r="A11" s="5" t="s">
        <v>1441</v>
      </c>
    </row>
    <row r="12" spans="1:2">
      <c r="A12" s="5" t="s">
        <v>1442</v>
      </c>
    </row>
    <row r="13" spans="1:2">
      <c r="A13" s="5"/>
    </row>
    <row r="14" spans="1:2">
      <c r="A14" s="5" t="s">
        <v>1443</v>
      </c>
    </row>
    <row r="15" spans="1:2">
      <c r="A15" s="5" t="s">
        <v>1436</v>
      </c>
    </row>
    <row r="16" spans="1:2">
      <c r="A16" s="5" t="s">
        <v>1437</v>
      </c>
    </row>
    <row r="17" spans="1:1">
      <c r="A17" s="5" t="s">
        <v>1438</v>
      </c>
    </row>
    <row r="18" spans="1:1">
      <c r="A18" s="5" t="s">
        <v>1444</v>
      </c>
    </row>
    <row r="19" spans="1:1">
      <c r="A19" s="5"/>
    </row>
    <row r="20" spans="1:1">
      <c r="A20" s="5"/>
    </row>
    <row r="21" spans="1:1">
      <c r="A21" s="5" t="s">
        <v>1445</v>
      </c>
    </row>
    <row r="22" spans="1:1">
      <c r="A22" s="5" t="s">
        <v>1446</v>
      </c>
    </row>
    <row r="23" spans="1:1">
      <c r="A23" s="5" t="s">
        <v>1447</v>
      </c>
    </row>
    <row r="24" spans="1:1">
      <c r="A24" s="5"/>
    </row>
    <row r="25" spans="1:1">
      <c r="A25" s="5"/>
    </row>
    <row r="26" spans="1:1">
      <c r="A26" s="5" t="s">
        <v>1448</v>
      </c>
    </row>
    <row r="27" spans="1:1">
      <c r="A27" s="5" t="s">
        <v>1449</v>
      </c>
    </row>
    <row r="28" spans="1:1">
      <c r="A2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1746-2FA2-4278-B6B1-125D96D38824}">
  <dimension ref="A2:O11"/>
  <sheetViews>
    <sheetView tabSelected="1" workbookViewId="0">
      <selection activeCell="L16" sqref="L16"/>
    </sheetView>
  </sheetViews>
  <sheetFormatPr defaultRowHeight="15"/>
  <sheetData>
    <row r="2" spans="1:15">
      <c r="A2" s="12" t="s">
        <v>1482</v>
      </c>
      <c r="B2" s="12"/>
      <c r="C2" s="12"/>
      <c r="D2" s="12"/>
      <c r="G2" s="12" t="s">
        <v>1481</v>
      </c>
      <c r="H2" s="12"/>
      <c r="I2" s="12"/>
      <c r="J2" s="12"/>
      <c r="L2" s="12" t="s">
        <v>1480</v>
      </c>
      <c r="M2" s="12"/>
      <c r="N2" s="12"/>
      <c r="O2" s="12"/>
    </row>
    <row r="3" spans="1:15">
      <c r="A3" s="11" t="s">
        <v>1473</v>
      </c>
      <c r="B3" s="11" t="s">
        <v>1474</v>
      </c>
      <c r="G3" s="11" t="s">
        <v>1478</v>
      </c>
      <c r="H3" s="11" t="s">
        <v>1474</v>
      </c>
      <c r="L3" s="11" t="s">
        <v>1477</v>
      </c>
      <c r="M3" s="11" t="s">
        <v>1474</v>
      </c>
    </row>
    <row r="4" spans="1:15">
      <c r="A4" s="11" t="s">
        <v>1475</v>
      </c>
      <c r="B4" t="s">
        <v>17</v>
      </c>
      <c r="C4" t="s">
        <v>723</v>
      </c>
      <c r="D4" t="s">
        <v>1476</v>
      </c>
      <c r="G4" s="11" t="s">
        <v>1475</v>
      </c>
      <c r="H4" t="s">
        <v>17</v>
      </c>
      <c r="I4" t="s">
        <v>723</v>
      </c>
      <c r="J4" t="s">
        <v>1476</v>
      </c>
      <c r="L4" s="11" t="s">
        <v>1475</v>
      </c>
      <c r="M4" t="s">
        <v>17</v>
      </c>
      <c r="N4" t="s">
        <v>723</v>
      </c>
      <c r="O4" t="s">
        <v>1476</v>
      </c>
    </row>
    <row r="5" spans="1:15">
      <c r="A5" s="10" t="s">
        <v>28</v>
      </c>
      <c r="B5">
        <v>2.5477707006369428E-2</v>
      </c>
      <c r="C5">
        <v>6.4705882352941183E-2</v>
      </c>
      <c r="D5">
        <v>4.5871559633027525E-2</v>
      </c>
      <c r="G5" s="10" t="s">
        <v>20</v>
      </c>
      <c r="H5">
        <v>29.114109589041096</v>
      </c>
      <c r="I5">
        <v>44.980892857142855</v>
      </c>
      <c r="J5">
        <v>36.002015503875974</v>
      </c>
      <c r="L5" s="10" t="s">
        <v>19</v>
      </c>
      <c r="M5">
        <v>57.21256281407036</v>
      </c>
      <c r="N5">
        <v>63.210426540284374</v>
      </c>
      <c r="O5">
        <v>60.299268292682932</v>
      </c>
    </row>
    <row r="6" spans="1:15">
      <c r="A6" s="10" t="s">
        <v>18</v>
      </c>
      <c r="B6">
        <v>3.482587064676617E-2</v>
      </c>
      <c r="C6">
        <v>8.8888888888888892E-2</v>
      </c>
      <c r="D6">
        <v>6.0367454068241469E-2</v>
      </c>
      <c r="G6" s="10" t="s">
        <v>25</v>
      </c>
      <c r="H6">
        <v>42.512601626016256</v>
      </c>
      <c r="I6">
        <v>51.562194092826992</v>
      </c>
      <c r="J6">
        <v>46.953084886128352</v>
      </c>
      <c r="L6" s="10" t="s">
        <v>24</v>
      </c>
      <c r="M6">
        <v>57.363981042653982</v>
      </c>
      <c r="N6">
        <v>62.81361502347422</v>
      </c>
      <c r="O6">
        <v>60.101650943396187</v>
      </c>
    </row>
    <row r="7" spans="1:15">
      <c r="A7" s="10" t="s">
        <v>32</v>
      </c>
      <c r="B7">
        <v>3.2608695652173912E-2</v>
      </c>
      <c r="C7">
        <v>7.650273224043716E-2</v>
      </c>
      <c r="D7">
        <v>5.4495912806539509E-2</v>
      </c>
      <c r="G7" s="10" t="s">
        <v>29</v>
      </c>
      <c r="H7">
        <v>10.907354838709677</v>
      </c>
      <c r="I7">
        <v>34.781590909090909</v>
      </c>
      <c r="J7">
        <v>23.601812688821756</v>
      </c>
      <c r="L7" s="10" t="s">
        <v>34</v>
      </c>
      <c r="M7">
        <v>55.662962962962965</v>
      </c>
      <c r="N7">
        <v>63.007142857142853</v>
      </c>
      <c r="O7">
        <v>59.4018181818182</v>
      </c>
    </row>
    <row r="8" spans="1:15">
      <c r="A8" s="10" t="s">
        <v>23</v>
      </c>
      <c r="B8">
        <v>3.3783783783783786E-2</v>
      </c>
      <c r="C8">
        <v>5.0847457627118647E-2</v>
      </c>
      <c r="D8">
        <v>4.3076923076923075E-2</v>
      </c>
      <c r="G8" s="10" t="s">
        <v>39</v>
      </c>
      <c r="H8">
        <v>33.310987654320989</v>
      </c>
      <c r="I8">
        <v>103.00417582417583</v>
      </c>
      <c r="J8">
        <v>70.18354651162791</v>
      </c>
      <c r="L8" s="10" t="s">
        <v>1476</v>
      </c>
      <c r="M8">
        <v>57.183259259259273</v>
      </c>
      <c r="N8">
        <v>62.950072150072195</v>
      </c>
      <c r="O8">
        <v>60.104605263157865</v>
      </c>
    </row>
    <row r="9" spans="1:15">
      <c r="A9" s="10" t="s">
        <v>1476</v>
      </c>
      <c r="B9">
        <v>3.1884057971014491E-2</v>
      </c>
      <c r="C9">
        <v>7.0422535211267609E-2</v>
      </c>
      <c r="D9">
        <v>5.1428571428571428E-2</v>
      </c>
      <c r="G9" s="10" t="s">
        <v>41</v>
      </c>
      <c r="H9">
        <v>137.1420930232558</v>
      </c>
      <c r="I9">
        <v>51.942651515151518</v>
      </c>
      <c r="J9">
        <v>94.052720306513407</v>
      </c>
    </row>
    <row r="10" spans="1:15">
      <c r="G10" s="10" t="s">
        <v>1479</v>
      </c>
      <c r="H10">
        <v>199.78166666666667</v>
      </c>
      <c r="I10">
        <v>79.453888888888898</v>
      </c>
      <c r="J10">
        <v>109.53583333333334</v>
      </c>
    </row>
    <row r="11" spans="1:15">
      <c r="G11" s="10" t="s">
        <v>1476</v>
      </c>
      <c r="H11">
        <v>51.974318840579706</v>
      </c>
      <c r="I11">
        <v>54.254521126760565</v>
      </c>
      <c r="J11">
        <v>53.130707142857133</v>
      </c>
    </row>
  </sheetData>
  <mergeCells count="3">
    <mergeCell ref="A2:D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Summary Metric</vt:lpstr>
      <vt:lpstr>Data Cleaning</vt:lpstr>
      <vt:lpstr>Segment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</dc:creator>
  <cp:lastModifiedBy>Hrishi</cp:lastModifiedBy>
  <dcterms:created xsi:type="dcterms:W3CDTF">2026-06-26T07:31:32Z</dcterms:created>
  <dcterms:modified xsi:type="dcterms:W3CDTF">2026-06-27T12:10:11Z</dcterms:modified>
</cp:coreProperties>
</file>